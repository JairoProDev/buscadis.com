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Economia por viaje" sheetId="2" state="visible" r:id="rId4"/>
    <sheet name="Proyeccion mensual" sheetId="3" state="visible" r:id="rId5"/>
    <sheet name="Sensibilidad tarifa-comi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<sst xmlns="http://schemas.openxmlformats.org/spreadsheetml/2006/main" count="63" uniqueCount="60">
  <si>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Taxi-Moto Cusco — Modelo de Unit Economics</t>
  </si>
  <si>
    <t xml:space="preserve">Todas las celdas azules son supuestos editables. Cambia cualquiera y el resto del modelo recalcula.</t>
  </si>
  <si>
    <t xml:space="preserve">Supuesto</t>
  </si>
  <si>
    <t xml:space="preserve">Valor</t>
  </si>
  <si>
    <t xml:space="preserve">Nota / fuente</t>
  </si>
  <si>
    <t xml:space="preserve">Tarifa por km (S/)</t>
  </si>
  <si>
    <t xml:space="preserve">Rango observado en grupo WhatsApp: S/1.00–1.50/km. Punto medio.</t>
  </si>
  <si>
    <t xml:space="preserve">Distancia promedio por viaje (km)</t>
  </si>
  <si>
    <t xml:space="preserve">Estimado sobre rutas frecuentes detectadas en la data (San Jerónimo–Centro).</t>
  </si>
  <si>
    <t xml:space="preserve">Comisión de la plataforma</t>
  </si>
  <si>
    <t xml:space="preserve">Rango sugerido en análisis previo: 15%–20%. Punto medio.</t>
  </si>
  <si>
    <t xml:space="preserve">Viajes por conductor activo / día</t>
  </si>
  <si>
    <t xml:space="preserve">Supuesto inicial de piloto — ajustar con data real de las semanas 3-4.</t>
  </si>
  <si>
    <t xml:space="preserve">Conductores activos simultáneos (piloto)</t>
  </si>
  <si>
    <t xml:space="preserve">Tamaño de la Fase Concierge (30 días) recomendada.</t>
  </si>
  <si>
    <t xml:space="preserve">Días operativos por mes</t>
  </si>
  <si>
    <t xml:space="preserve">Asume descanso semanal 1 día.</t>
  </si>
  <si>
    <t xml:space="preserve">Costo de gasolina por km (S/)</t>
  </si>
  <si>
    <t xml:space="preserve">Estimado moto lineal 125-150cc, ajustar con precio local de combustible.</t>
  </si>
  <si>
    <t xml:space="preserve">Costo fijo mensual de operación (S/)</t>
  </si>
  <si>
    <t xml:space="preserve">WhatsApp Business + hosting + Google Sheet/CRM básico en Fase Concierge.</t>
  </si>
  <si>
    <t xml:space="preserve">Nota:</t>
  </si>
  <si>
    <t xml:space="preserve">Estas tarifas y comisión reflejan lo que circulaba en el grupo 'Viajes Seguro y Rapido' el 19/7/2026, no un estudio de mercado formal — valídalas en la Fase Concierge antes de fijar precios definitivos.</t>
  </si>
  <si>
    <t xml:space="preserve">Economía de un viaje promedio</t>
  </si>
  <si>
    <t xml:space="preserve">Concepto</t>
  </si>
  <si>
    <t xml:space="preserve">Fórmula / explicación</t>
  </si>
  <si>
    <t xml:space="preserve">Tarifa del viaje (S/)</t>
  </si>
  <si>
    <t xml:space="preserve">Tarifa/km × distancia promedio</t>
  </si>
  <si>
    <t xml:space="preserve">Comisión de la plataforma (S/)</t>
  </si>
  <si>
    <t xml:space="preserve">Tarifa del viaje × % comisión</t>
  </si>
  <si>
    <t xml:space="preserve">Neto para el conductor (S/)</t>
  </si>
  <si>
    <t xml:space="preserve">Tarifa − comisión</t>
  </si>
  <si>
    <t xml:space="preserve">Costo de gasolina del viaje (S/)</t>
  </si>
  <si>
    <t xml:space="preserve">Distancia × costo gasolina/km</t>
  </si>
  <si>
    <t xml:space="preserve">Margen real del conductor (S/)</t>
  </si>
  <si>
    <t xml:space="preserve">Neto − gasolina (antes de desgaste de moto, SOAT, tiempo)</t>
  </si>
  <si>
    <t xml:space="preserve">Margen real del conductor (%)</t>
  </si>
  <si>
    <t xml:space="preserve">Sobre la tarifa total — ojo si baja de ~50%, el conductor no vuelve</t>
  </si>
  <si>
    <t xml:space="preserve">Proyección mensual — Fase Concierge (piloto de 30 días)</t>
  </si>
  <si>
    <t xml:space="preserve">Métrica</t>
  </si>
  <si>
    <t xml:space="preserve">Viajes por día (piloto)</t>
  </si>
  <si>
    <t xml:space="preserve">Viajes/conductor/día × conductores activos</t>
  </si>
  <si>
    <t xml:space="preserve">Viajes por mes</t>
  </si>
  <si>
    <t xml:space="preserve">Viajes/día × días operativos/mes</t>
  </si>
  <si>
    <t xml:space="preserve">Ingreso bruto transaccionado / mes (S/)</t>
  </si>
  <si>
    <t xml:space="preserve">Tarifa promedio × viajes/mes — el GMV de la plataforma</t>
  </si>
  <si>
    <t xml:space="preserve">Comisión total / mes (S/)</t>
  </si>
  <si>
    <t xml:space="preserve">placeholder</t>
  </si>
  <si>
    <t xml:space="preserve">Costos fijos / mes (S/)</t>
  </si>
  <si>
    <t xml:space="preserve">WhatsApp Business, hosting, herramientas del piloto</t>
  </si>
  <si>
    <t xml:space="preserve">Utilidad neta del piloto / mes (S/)</t>
  </si>
  <si>
    <t xml:space="preserve">Comisión total − costos fijos</t>
  </si>
  <si>
    <t xml:space="preserve">Ingreso neto total de conductores / mes (S/)</t>
  </si>
  <si>
    <t xml:space="preserve">Margen real del conductor × viajes/mes — lo que se llevan los 10 pilotos combinados</t>
  </si>
  <si>
    <t xml:space="preserve">Sensibilidad: comisión por viaje (S/) según tarifa/km y distancia</t>
  </si>
  <si>
    <t xml:space="preserve">Cada celda = tarifa/km × distancia × comisión (Supuestos!B7). Cambia la comisión en Supuestos y toda la tabla recalcula.</t>
  </si>
  <si>
    <t xml:space="preserve">Distancia (km) \ Tarifa/km</t>
  </si>
  <si>
    <t xml:space="preserve">Viajes/día necesarios para S/500 de comisión neta diaria</t>
  </si>
  <si>
    <t xml:space="preserve">Comisión promedio por viaje actual (S/)</t>
  </si>
  <si>
    <t xml:space="preserve">Viajes/día requeridos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</si>
</sst>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S/&quot;#,##0.00;&quot;(S/&quot;#,##0.00\);\-"/>
    <numFmt numFmtId="166" formatCode="0.0%"/>
    <numFmt numFmtId="167" formatCode="0"/>
    <numFmt numFmtId="168" formatCode="&quot;S/&quot;#,##0;&quot;(S/&quot;#,##0\);\-"/>
    <numFmt numFmtId="169" formatCode="&quot;S/&quot;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1.25</v>
      </c>
      <c r="C5" s="2" t="s">
        <v>6</v>
      </c>
    </row>
    <row r="6" customFormat="false" ht="15" hidden="false" customHeight="false" outlineLevel="0" collapsed="false">
      <c r="A6" s="4" t="s">
        <v>7</v>
      </c>
      <c r="B6" s="6" t="n">
        <v>5</v>
      </c>
      <c r="C6" s="2" t="s">
        <v>8</v>
      </c>
    </row>
    <row r="7" customFormat="false" ht="15" hidden="false" customHeight="false" outlineLevel="0" collapsed="false">
      <c r="A7" s="4" t="s">
        <v>9</v>
      </c>
      <c r="B7" s="7" t="n">
        <v>0.18</v>
      </c>
      <c r="C7" s="2" t="s">
        <v>10</v>
      </c>
    </row>
    <row r="8" customFormat="false" ht="15" hidden="false" customHeight="false" outlineLevel="0" collapsed="false">
      <c r="A8" s="4" t="s">
        <v>11</v>
      </c>
      <c r="B8" s="6" t="n">
        <v>8</v>
      </c>
      <c r="C8" s="2" t="s">
        <v>12</v>
      </c>
    </row>
    <row r="9" customFormat="false" ht="15" hidden="false" customHeight="false" outlineLevel="0" collapsed="false">
      <c r="A9" s="4" t="s">
        <v>13</v>
      </c>
      <c r="B9" s="6" t="n">
        <v>10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6" t="n">
        <v>26</v>
      </c>
      <c r="C10" s="2" t="s">
        <v>16</v>
      </c>
    </row>
    <row r="11" customFormat="false" ht="15" hidden="false" customHeight="false" outlineLevel="0" collapsed="false">
      <c r="A11" s="4" t="s">
        <v>17</v>
      </c>
      <c r="B11" s="5" t="n">
        <v>0.35</v>
      </c>
      <c r="C11" s="2" t="s">
        <v>18</v>
      </c>
    </row>
    <row r="12" customFormat="false" ht="15" hidden="false" customHeight="false" outlineLevel="0" collapsed="false">
      <c r="A12" s="4" t="s">
        <v>19</v>
      </c>
      <c r="B12" s="5" t="n">
        <v>800</v>
      </c>
      <c r="C12" s="2" t="s">
        <v>20</v>
      </c>
    </row>
    <row r="14" customFormat="false" ht="15" hidden="false" customHeight="false" outlineLevel="0" collapsed="false">
      <c r="A14" s="8" t="s">
        <v>21</v>
      </c>
    </row>
    <row r="15" customFormat="false" ht="43.25" hidden="false" customHeight="false" outlineLevel="0" collapsed="false">
      <c r="A15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23</v>
      </c>
    </row>
    <row r="3" customFormat="false" ht="15" hidden="false" customHeight="false" outlineLevel="0" collapsed="false">
      <c r="A3" s="3" t="s">
        <v>24</v>
      </c>
      <c r="B3" s="3" t="s">
        <v>3</v>
      </c>
      <c r="C3" s="3" t="s">
        <v>25</v>
      </c>
    </row>
    <row r="4" customFormat="false" ht="15" hidden="false" customHeight="false" outlineLevel="0" collapsed="false">
      <c r="A4" s="4" t="s">
        <v>26</v>
      </c>
      <c r="B4" s="10" t="n">
        <f aca="false">Supuestos!B5*Supuestos!B6</f>
        <v>6.25</v>
      </c>
      <c r="C4" s="2" t="s">
        <v>27</v>
      </c>
    </row>
    <row r="5" customFormat="false" ht="15" hidden="false" customHeight="false" outlineLevel="0" collapsed="false">
      <c r="A5" s="4" t="s">
        <v>28</v>
      </c>
      <c r="B5" s="10" t="n">
        <f aca="false">B4*Supuestos!B7</f>
        <v>1.125</v>
      </c>
      <c r="C5" s="2" t="s">
        <v>29</v>
      </c>
    </row>
    <row r="6" customFormat="false" ht="15" hidden="false" customHeight="false" outlineLevel="0" collapsed="false">
      <c r="A6" s="4" t="s">
        <v>30</v>
      </c>
      <c r="B6" s="10" t="n">
        <f aca="false">B4-B5</f>
        <v>5.125</v>
      </c>
      <c r="C6" s="2" t="s">
        <v>31</v>
      </c>
    </row>
    <row r="7" customFormat="false" ht="15" hidden="false" customHeight="false" outlineLevel="0" collapsed="false">
      <c r="A7" s="4" t="s">
        <v>32</v>
      </c>
      <c r="B7" s="10" t="n">
        <f aca="false">Supuestos!B6*Supuestos!B11</f>
        <v>1.75</v>
      </c>
      <c r="C7" s="2" t="s">
        <v>33</v>
      </c>
    </row>
    <row r="8" customFormat="false" ht="15" hidden="false" customHeight="false" outlineLevel="0" collapsed="false">
      <c r="A8" s="4" t="s">
        <v>34</v>
      </c>
      <c r="B8" s="10" t="n">
        <f aca="false">B6-B7</f>
        <v>3.375</v>
      </c>
      <c r="C8" s="2" t="s">
        <v>35</v>
      </c>
    </row>
    <row r="9" customFormat="false" ht="15" hidden="false" customHeight="false" outlineLevel="0" collapsed="false">
      <c r="A9" s="4" t="s">
        <v>36</v>
      </c>
      <c r="B9" s="11" t="n">
        <f aca="false">B8/B4</f>
        <v>0.54</v>
      </c>
      <c r="C9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3" t="s">
        <v>39</v>
      </c>
      <c r="B3" s="3" t="s">
        <v>3</v>
      </c>
      <c r="C3" s="3" t="s">
        <v>25</v>
      </c>
    </row>
    <row r="4" customFormat="false" ht="15" hidden="false" customHeight="false" outlineLevel="0" collapsed="false">
      <c r="A4" s="4" t="s">
        <v>40</v>
      </c>
      <c r="B4" s="12" t="n">
        <f aca="false">Supuestos!B8*Supuestos!B9</f>
        <v>80</v>
      </c>
      <c r="C4" s="2" t="s">
        <v>41</v>
      </c>
    </row>
    <row r="5" customFormat="false" ht="15" hidden="false" customHeight="false" outlineLevel="0" collapsed="false">
      <c r="A5" s="4" t="s">
        <v>42</v>
      </c>
      <c r="B5" s="12" t="n">
        <f aca="false">B4*Supuestos!B10</f>
        <v>2080</v>
      </c>
      <c r="C5" s="2" t="s">
        <v>43</v>
      </c>
    </row>
    <row r="6" customFormat="false" ht="15" hidden="false" customHeight="false" outlineLevel="0" collapsed="false">
      <c r="A6" s="4" t="s">
        <v>44</v>
      </c>
      <c r="B6" s="13" t="n">
        <f aca="false">'Economia por viaje'!B4*B5</f>
        <v>13000</v>
      </c>
      <c r="C6" s="2" t="s">
        <v>45</v>
      </c>
    </row>
    <row r="7" customFormat="false" ht="15" hidden="false" customHeight="false" outlineLevel="0" collapsed="false">
      <c r="A7" s="4" t="s">
        <v>46</v>
      </c>
      <c r="B7" s="13" t="n">
        <f aca="false">'Economia por viaje'!B5*B5</f>
        <v>2340</v>
      </c>
      <c r="C7" s="2" t="s">
        <v>47</v>
      </c>
    </row>
    <row r="8" customFormat="false" ht="15" hidden="false" customHeight="false" outlineLevel="0" collapsed="false">
      <c r="A8" s="4" t="s">
        <v>48</v>
      </c>
      <c r="B8" s="13" t="n">
        <f aca="false">Supuestos!B12</f>
        <v>800</v>
      </c>
      <c r="C8" s="2" t="s">
        <v>49</v>
      </c>
    </row>
    <row r="9" customFormat="false" ht="15" hidden="false" customHeight="false" outlineLevel="0" collapsed="false">
      <c r="A9" s="4" t="s">
        <v>50</v>
      </c>
      <c r="B9" s="13" t="n">
        <f aca="false">B7-B8</f>
        <v>1540</v>
      </c>
      <c r="C9" s="2" t="s">
        <v>51</v>
      </c>
    </row>
    <row r="10" customFormat="false" ht="15" hidden="false" customHeight="false" outlineLevel="0" collapsed="false">
      <c r="A10" s="4" t="s">
        <v>52</v>
      </c>
      <c r="B10" s="13" t="n">
        <f aca="false">'Economia por viaje'!B8*B5</f>
        <v>7020</v>
      </c>
      <c r="C10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8" t="s">
        <v>56</v>
      </c>
      <c r="B4" s="14" t="n">
        <v>1</v>
      </c>
      <c r="C4" s="14" t="n">
        <v>1.25</v>
      </c>
      <c r="D4" s="14" t="n">
        <v>1.5</v>
      </c>
    </row>
    <row r="5" customFormat="false" ht="15" hidden="false" customHeight="false" outlineLevel="0" collapsed="false">
      <c r="A5" s="15" t="n">
        <v>3</v>
      </c>
      <c r="B5" s="10" t="n">
        <f aca="false">B$4*$A5*Supuestos!B7</f>
        <v>0.54</v>
      </c>
      <c r="C5" s="10" t="n">
        <f aca="false">C$4*$A5*Supuestos!B7</f>
        <v>0.675</v>
      </c>
      <c r="D5" s="10" t="n">
        <f aca="false">D$4*$A5*Supuestos!B7</f>
        <v>0.81</v>
      </c>
    </row>
    <row r="6" customFormat="false" ht="15" hidden="false" customHeight="false" outlineLevel="0" collapsed="false">
      <c r="A6" s="15" t="n">
        <v>5</v>
      </c>
      <c r="B6" s="10" t="n">
        <f aca="false">B$4*$A6*Supuestos!B7</f>
        <v>0.9</v>
      </c>
      <c r="C6" s="10" t="n">
        <f aca="false">C$4*$A6*Supuestos!B7</f>
        <v>1.125</v>
      </c>
      <c r="D6" s="10" t="n">
        <f aca="false">D$4*$A6*Supuestos!B7</f>
        <v>1.35</v>
      </c>
    </row>
    <row r="7" customFormat="false" ht="15" hidden="false" customHeight="false" outlineLevel="0" collapsed="false">
      <c r="A7" s="15" t="n">
        <v>8</v>
      </c>
      <c r="B7" s="10" t="n">
        <f aca="false">B$4*$A7*Supuestos!B7</f>
        <v>1.44</v>
      </c>
      <c r="C7" s="10" t="n">
        <f aca="false">C$4*$A7*Supuestos!B7</f>
        <v>1.8</v>
      </c>
      <c r="D7" s="10" t="n">
        <f aca="false">D$4*$A7*Supuestos!B7</f>
        <v>2.16</v>
      </c>
    </row>
    <row r="9" customFormat="false" ht="15" hidden="false" customHeight="false" outlineLevel="0" collapsed="false">
      <c r="A9" s="8" t="s">
        <v>57</v>
      </c>
    </row>
    <row r="10" customFormat="false" ht="15" hidden="false" customHeight="false" outlineLevel="0" collapsed="false">
      <c r="A10" s="0" t="s">
        <v>58</v>
      </c>
      <c r="B10" s="16" t="n">
        <f aca="false">'Economia por viaje'!B5</f>
        <v>1.125</v>
      </c>
    </row>
    <row r="11" customFormat="false" ht="15" hidden="false" customHeight="false" outlineLevel="0" collapsed="false">
      <c r="A11" s="0" t="s">
        <v>59</v>
      </c>
      <c r="B11" s="17" t="n">
        <f aca="false">500/B10</f>
        <v>444.444444444444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2026-07-20T07:05:16Z</dcterms:created>
  <dc:creator>openpyxl</dc:creator>
  <dc:description/>
  <dc:language>en-US</dc:language>
  <cp:lastModifiedBy/>
  <dcterms:modified xsi:type="dcterms:W3CDTF">2026-07-20T07:05:16Z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